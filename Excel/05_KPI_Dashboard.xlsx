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business-intelligence-journey\Excel\"/>
    </mc:Choice>
  </mc:AlternateContent>
  <xr:revisionPtr revIDLastSave="0" documentId="8_{6DDE5D05-E2C4-43BB-B3AD-61918B2F638E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Sheet1" sheetId="1" r:id="rId1"/>
    <sheet name="Dashboard" sheetId="3" r:id="rId2"/>
    <sheet name="Sheet2" sheetId="2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G4" i="1"/>
  <c r="G3" i="1"/>
  <c r="G2" i="1"/>
  <c r="D3" i="1"/>
  <c r="D4" i="1"/>
  <c r="D5" i="1"/>
  <c r="D6" i="1"/>
  <c r="D2" i="1"/>
  <c r="C11" i="1"/>
  <c r="C10" i="1"/>
  <c r="C9" i="1"/>
  <c r="C8" i="1"/>
</calcChain>
</file>

<file path=xl/sharedStrings.xml><?xml version="1.0" encoding="utf-8"?>
<sst xmlns="http://schemas.openxmlformats.org/spreadsheetml/2006/main" count="34" uniqueCount="27">
  <si>
    <t>Employee</t>
  </si>
  <si>
    <t>Department</t>
  </si>
  <si>
    <t>Salary</t>
  </si>
  <si>
    <t>Rahim</t>
  </si>
  <si>
    <t>Sales</t>
  </si>
  <si>
    <t>Karim</t>
  </si>
  <si>
    <t>HR</t>
  </si>
  <si>
    <t>Jannat</t>
  </si>
  <si>
    <t>Nila</t>
  </si>
  <si>
    <t>IT</t>
  </si>
  <si>
    <t>Rafi</t>
  </si>
  <si>
    <t>AVERAGE(C2:C6)</t>
  </si>
  <si>
    <t>MIN(C2:C6)</t>
  </si>
  <si>
    <t>MAX(C2:C6)</t>
  </si>
  <si>
    <t>SUM(C2:C6)</t>
  </si>
  <si>
    <t>Salary Level</t>
  </si>
  <si>
    <t>Department Report</t>
  </si>
  <si>
    <t>HR Employees</t>
  </si>
  <si>
    <t>Sales Employees</t>
  </si>
  <si>
    <t>IT Employees</t>
  </si>
  <si>
    <t>Grand Total</t>
  </si>
  <si>
    <t>Total Salary</t>
  </si>
  <si>
    <t>KPI Dashboard</t>
  </si>
  <si>
    <t>Total Employees</t>
  </si>
  <si>
    <t>Average Salary</t>
  </si>
  <si>
    <t>Highest Salary</t>
  </si>
  <si>
    <t>Lowest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</si>
</sst>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Dashboard!$A$4:$A$7</c:f>
              <c:strCache>
                <c:ptCount val="4"/>
                <c:pt idx="0">
                  <c:v>Total Salary</c:v>
                </c:pt>
                <c:pt idx="1">
                  <c:v>Average Salary</c:v>
                </c:pt>
                <c:pt idx="2">
                  <c:v>Highest Salary</c:v>
                </c:pt>
                <c:pt idx="3">
                  <c:v>Lowest Salary</c:v>
                </c:pt>
              </c:strCache>
            </c:strRef>
          </c:cat>
          <c:val>
            <c:numRef>
              <c:f>Dashboard!$B$4:$B$7</c:f>
              <c:numCache>
                <c:formatCode>General</c:formatCode>
                <c:ptCount val="4"/>
                <c:pt idx="0">
                  <c:v>180000</c:v>
                </c:pt>
                <c:pt idx="1">
                  <c:v>36000</c:v>
                </c:pt>
                <c:pt idx="2">
                  <c:v>50000</c:v>
                </c:pt>
                <c:pt idx="3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FD-49DE-BE5D-55DE4981E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4695632"/>
        <c:axId val="456656000"/>
      </c:barChart>
      <c:catAx>
        <c:axId val="68469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656000"/>
        <c:crosses val="autoZero"/>
        <c:auto val="1"/>
        <c:lblAlgn val="ctr"/>
        <c:lblOffset val="100"/>
        <c:noMultiLvlLbl val="0"/>
      </c:catAx>
      <c:valAx>
        <c:axId val="45665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69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171450</xdr:rowOff>
    </xdr:from>
    <xdr:to>
      <xdr:col>10</xdr:col>
      <xdr:colOff>304800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70A61E-51CA-DAE7-732A-29DC75E604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45.729936574076" createdVersion="8" refreshedVersion="8" minRefreshableVersion="3" recordCount="5" xr:uid="{CE51A550-B94A-4BAF-90DF-50CE24F87741}">
  <cacheSource type="worksheet">
    <worksheetSource ref="A1:D6" sheet="Sheet1"/>
  </cacheSource>
  <cacheFields count="4">
    <cacheField name="Employee" numFmtId="0">
      <sharedItems/>
    </cacheField>
    <cacheField name="Department" numFmtId="0">
      <sharedItems count="3">
        <s v="Sales"/>
        <s v="HR"/>
        <s v="IT"/>
      </sharedItems>
    </cacheField>
    <cacheField name="Salary" numFmtId="0">
      <sharedItems containsSemiMixedTypes="0" containsString="0" containsNumber="1" containsInteger="1" minValue="25000" maxValue="50000"/>
    </cacheField>
    <cacheField name="Salary Lev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Rahim"/>
    <x v="0"/>
    <n v="25000"/>
    <s v="Low"/>
  </r>
  <r>
    <s v="Karim"/>
    <x v="1"/>
    <n v="30000"/>
    <s v="Low"/>
  </r>
  <r>
    <s v="Jannat"/>
    <x v="0"/>
    <n v="40000"/>
    <s v="High"/>
  </r>
  <r>
    <s v="Nila"/>
    <x v="2"/>
    <n v="50000"/>
    <s v="High"/>
  </r>
  <r>
    <s v="Rafi"/>
    <x v="1"/>
    <n v="35000"/>
    <s v="Hig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01DDB3-E9BA-477E-8A09-41E85B0C977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3:B7" firstHeaderRow="1" firstDataRow="1" firstDataCol="1"/>
  <pivotFields count="4">
    <pivotField showAll="0"/>
    <pivotField axis="axisRow" showAll="0">
      <items count="4">
        <item x="1"/>
        <item x="2"/>
        <item x="0"/>
        <item t="default"/>
      </items>
    </pivotField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ary" fld="2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C18" sqref="C18"/>
    </sheetView>
  </sheetViews>
  <sheetFormatPr defaultRowHeight="14.4" x14ac:dyDescent="0.3"/>
  <cols>
    <col min="1" max="1" width="15.777343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3" t="s">
        <v>15</v>
      </c>
      <c r="F1" s="3" t="s">
        <v>16</v>
      </c>
    </row>
    <row r="2" spans="1:7" x14ac:dyDescent="0.3">
      <c r="A2" s="2" t="s">
        <v>3</v>
      </c>
      <c r="B2" s="2" t="s">
        <v>4</v>
      </c>
      <c r="C2" s="2">
        <v>25000</v>
      </c>
      <c r="D2" t="str">
        <f>IF(C2&gt;30000,"High","Low")</f>
        <v>Low</v>
      </c>
      <c r="F2" t="s">
        <v>17</v>
      </c>
      <c r="G2">
        <f>COUNTIF(B2:B6,"HR")</f>
        <v>2</v>
      </c>
    </row>
    <row r="3" spans="1:7" x14ac:dyDescent="0.3">
      <c r="A3" s="2" t="s">
        <v>5</v>
      </c>
      <c r="B3" s="2" t="s">
        <v>6</v>
      </c>
      <c r="C3" s="2">
        <v>30000</v>
      </c>
      <c r="D3" t="str">
        <f t="shared" ref="D3:D6" si="0">IF(C3&gt;30000,"High","Low")</f>
        <v>Low</v>
      </c>
      <c r="F3" t="s">
        <v>18</v>
      </c>
      <c r="G3">
        <f>COUNTIF(B2:B6,"Sales")</f>
        <v>2</v>
      </c>
    </row>
    <row r="4" spans="1:7" x14ac:dyDescent="0.3">
      <c r="A4" s="2" t="s">
        <v>7</v>
      </c>
      <c r="B4" s="2" t="s">
        <v>4</v>
      </c>
      <c r="C4" s="2">
        <v>40000</v>
      </c>
      <c r="D4" t="str">
        <f t="shared" si="0"/>
        <v>High</v>
      </c>
      <c r="F4" t="s">
        <v>19</v>
      </c>
      <c r="G4">
        <f>COUNTIF(B2:B6,"IT")</f>
        <v>1</v>
      </c>
    </row>
    <row r="5" spans="1:7" x14ac:dyDescent="0.3">
      <c r="A5" s="2" t="s">
        <v>8</v>
      </c>
      <c r="B5" s="2" t="s">
        <v>9</v>
      </c>
      <c r="C5" s="2">
        <v>50000</v>
      </c>
      <c r="D5" t="str">
        <f t="shared" si="0"/>
        <v>High</v>
      </c>
    </row>
    <row r="6" spans="1:7" x14ac:dyDescent="0.3">
      <c r="A6" s="2" t="s">
        <v>10</v>
      </c>
      <c r="B6" s="2" t="s">
        <v>6</v>
      </c>
      <c r="C6" s="2">
        <v>35000</v>
      </c>
      <c r="D6" t="str">
        <f t="shared" si="0"/>
        <v>High</v>
      </c>
    </row>
    <row r="8" spans="1:7" x14ac:dyDescent="0.3">
      <c r="A8" s="2" t="s">
        <v>14</v>
      </c>
      <c r="C8">
        <f>SUM(C2:C6)</f>
        <v>180000</v>
      </c>
    </row>
    <row r="9" spans="1:7" x14ac:dyDescent="0.3">
      <c r="A9" s="2" t="s">
        <v>11</v>
      </c>
      <c r="C9">
        <f>AVERAGE(C2:C6)</f>
        <v>36000</v>
      </c>
    </row>
    <row r="10" spans="1:7" x14ac:dyDescent="0.3">
      <c r="A10" s="2" t="s">
        <v>13</v>
      </c>
      <c r="C10">
        <f>MAX(C2:C6)</f>
        <v>50000</v>
      </c>
    </row>
    <row r="11" spans="1:7" x14ac:dyDescent="0.3">
      <c r="A11" s="2" t="s">
        <v>12</v>
      </c>
      <c r="C11">
        <f>MIN(C2:C6)</f>
        <v>25000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DE39A-F023-4073-8B5F-0E51B7D8EEFF}">
  <dimension ref="A1:B7"/>
  <sheetViews>
    <sheetView tabSelected="1" workbookViewId="0">
      <selection sqref="A1:B1"/>
    </sheetView>
  </sheetViews>
  <sheetFormatPr defaultRowHeight="14.4" x14ac:dyDescent="0.3"/>
  <sheetData>
    <row r="1" spans="1:2" x14ac:dyDescent="0.3">
      <c r="A1" s="8" t="s">
        <v>22</v>
      </c>
      <c r="B1" s="8"/>
    </row>
    <row r="3" spans="1:2" x14ac:dyDescent="0.3">
      <c r="A3" s="7" t="s">
        <v>23</v>
      </c>
      <c r="B3" s="7">
        <f>COUNTA(Sheet1!A2:A6)</f>
        <v>5</v>
      </c>
    </row>
    <row r="4" spans="1:2" x14ac:dyDescent="0.3">
      <c r="A4" s="7" t="s">
        <v>21</v>
      </c>
      <c r="B4" s="7">
        <f>SUM(Sheet1!C2:C6)</f>
        <v>180000</v>
      </c>
    </row>
    <row r="5" spans="1:2" x14ac:dyDescent="0.3">
      <c r="A5" s="7" t="s">
        <v>24</v>
      </c>
      <c r="B5" s="7">
        <f>AVERAGE(Sheet1!C2:C6)</f>
        <v>36000</v>
      </c>
    </row>
    <row r="6" spans="1:2" x14ac:dyDescent="0.3">
      <c r="A6" s="7" t="s">
        <v>25</v>
      </c>
      <c r="B6" s="7">
        <f>MAX(Sheet1!C2:C6)</f>
        <v>50000</v>
      </c>
    </row>
    <row r="7" spans="1:2" x14ac:dyDescent="0.3">
      <c r="A7" s="7" t="s">
        <v>26</v>
      </c>
      <c r="B7" s="7">
        <f>MIN(Sheet1!C2:C6)</f>
        <v>25000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751AA-FDCA-45D4-A223-553F5F27BBE3}">
  <dimension ref="A3:B7"/>
  <sheetViews>
    <sheetView workbookViewId="0">
      <selection activeCell="B3" sqref="B3"/>
    </sheetView>
  </sheetViews>
  <sheetFormatPr defaultRowHeight="14.4" x14ac:dyDescent="0.3"/>
  <cols>
    <col min="1" max="1" width="12.5546875" bestFit="1" customWidth="1"/>
    <col min="2" max="2" width="10.77734375" bestFit="1" customWidth="1"/>
  </cols>
  <sheetData>
    <row r="3" spans="1:2" x14ac:dyDescent="0.3">
      <c r="A3" s="4" t="s">
        <v>1</v>
      </c>
      <c r="B3" t="s">
        <v>21</v>
      </c>
    </row>
    <row r="4" spans="1:2" x14ac:dyDescent="0.3">
      <c r="A4" s="5" t="s">
        <v>6</v>
      </c>
      <c r="B4" s="6">
        <v>65000</v>
      </c>
    </row>
    <row r="5" spans="1:2" x14ac:dyDescent="0.3">
      <c r="A5" s="5" t="s">
        <v>9</v>
      </c>
      <c r="B5" s="6">
        <v>50000</v>
      </c>
    </row>
    <row r="6" spans="1:2" x14ac:dyDescent="0.3">
      <c r="A6" s="5" t="s">
        <v>4</v>
      </c>
      <c r="B6" s="6">
        <v>65000</v>
      </c>
    </row>
    <row r="7" spans="1:2" x14ac:dyDescent="0.3">
      <c r="A7" s="5" t="s">
        <v>20</v>
      </c>
      <c r="B7" s="6">
        <v>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Dashboard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Marufa Meem</cp:lastModifiedBy>
  <dcterms:created xsi:type="dcterms:W3CDTF">2015-06-05T18:17:20Z</dcterms:created>
  <dcterms:modified xsi:type="dcterms:W3CDTF">2026-08-11T12:15:36Z</dcterms:modified>
</cp:coreProperties>
</file>