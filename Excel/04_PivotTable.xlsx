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13_ncr:1_{07F159C9-DC4F-4A4E-8017-8196A2C37B1E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1" r:id="rId1"/>
    <sheet name="Dashboard" sheetId="3" r:id="rId2"/>
    <sheet name="Sheet2" sheetId="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G4" i="1"/>
  <c r="G3" i="1"/>
  <c r="G2" i="1"/>
  <c r="D3" i="1"/>
  <c r="D4" i="1"/>
  <c r="D5" i="1"/>
  <c r="D6" i="1"/>
  <c r="D2" i="1"/>
  <c r="C11" i="1"/>
  <c r="C10" i="1"/>
  <c r="C9" i="1"/>
  <c r="C8" i="1"/>
</calcChain>
</file>

<file path=xl/sharedStrings.xml><?xml version="1.0" encoding="utf-8"?>
<sst xmlns="http://schemas.openxmlformats.org/spreadsheetml/2006/main" count="34" uniqueCount="27">
  <si>
    <t>Employee</t>
  </si>
  <si>
    <t>Department</t>
  </si>
  <si>
    <t>Salary</t>
  </si>
  <si>
    <t>Rahim</t>
  </si>
  <si>
    <t>Sales</t>
  </si>
  <si>
    <t>Karim</t>
  </si>
  <si>
    <t>HR</t>
  </si>
  <si>
    <t>Jannat</t>
  </si>
  <si>
    <t>Nila</t>
  </si>
  <si>
    <t>IT</t>
  </si>
  <si>
    <t>Rafi</t>
  </si>
  <si>
    <t>AVERAGE(C2:C6)</t>
  </si>
  <si>
    <t>MIN(C2:C6)</t>
  </si>
  <si>
    <t>MAX(C2:C6)</t>
  </si>
  <si>
    <t>SUM(C2:C6)</t>
  </si>
  <si>
    <t>Salary Level</t>
  </si>
  <si>
    <t>Department Report</t>
  </si>
  <si>
    <t>HR Employees</t>
  </si>
  <si>
    <t>Sales Employees</t>
  </si>
  <si>
    <t>IT Employees</t>
  </si>
  <si>
    <t>Grand Total</t>
  </si>
  <si>
    <t>Total Salary</t>
  </si>
  <si>
    <t>KPI Dashboard</t>
  </si>
  <si>
    <t>Total Employees</t>
  </si>
  <si>
    <t>Average Salary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</si>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</sst>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4"/>
                <c:pt idx="0">
                  <c:v>Total Salary</c:v>
                </c:pt>
                <c:pt idx="1">
                  <c:v>Average Salary</c:v>
                </c:pt>
                <c:pt idx="2">
                  <c:v>Highest Salary</c:v>
                </c:pt>
                <c:pt idx="3">
                  <c:v>Lowest Salary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180000</c:v>
                </c:pt>
                <c:pt idx="1">
                  <c:v>36000</c:v>
                </c:pt>
                <c:pt idx="2">
                  <c:v>50000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D-49DE-BE5D-55DE4981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695632"/>
        <c:axId val="456656000"/>
      </c:barChart>
      <c:catAx>
        <c:axId val="6846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56000"/>
        <c:crosses val="autoZero"/>
        <c:auto val="1"/>
        <c:lblAlgn val="ctr"/>
        <c:lblOffset val="100"/>
        <c:noMultiLvlLbl val="0"/>
      </c:catAx>
      <c:valAx>
        <c:axId val="4566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171450</xdr:rowOff>
    </xdr:from>
    <xdr:to>
      <xdr:col>10</xdr:col>
      <xdr:colOff>304800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0A61E-51CA-DAE7-732A-29DC75E60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5.729936574076" createdVersion="8" refreshedVersion="8" minRefreshableVersion="3" recordCount="5" xr:uid="{CE51A550-B94A-4BAF-90DF-50CE24F87741}">
  <cacheSource type="worksheet">
    <worksheetSource ref="A1:D6" sheet="Sheet1"/>
  </cacheSource>
  <cacheFields count="4">
    <cacheField name="Employee" numFmtId="0">
      <sharedItems/>
    </cacheField>
    <cacheField name="Department" numFmtId="0">
      <sharedItems count="3">
        <s v="Sales"/>
        <s v="HR"/>
        <s v="IT"/>
      </sharedItems>
    </cacheField>
    <cacheField name="Salary" numFmtId="0">
      <sharedItems containsSemiMixedTypes="0" containsString="0" containsNumber="1" containsInteger="1" minValue="25000" maxValue="50000"/>
    </cacheField>
    <cacheField name="Salary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Rahim"/>
    <x v="0"/>
    <n v="25000"/>
    <s v="Low"/>
  </r>
  <r>
    <s v="Karim"/>
    <x v="1"/>
    <n v="30000"/>
    <s v="Low"/>
  </r>
  <r>
    <s v="Jannat"/>
    <x v="0"/>
    <n v="40000"/>
    <s v="High"/>
  </r>
  <r>
    <s v="Nila"/>
    <x v="2"/>
    <n v="50000"/>
    <s v="High"/>
  </r>
  <r>
    <s v="Rafi"/>
    <x v="1"/>
    <n v="3500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1DDB3-E9BA-477E-8A09-41E85B0C977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4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ary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8" sqref="C18"/>
    </sheetView>
  </sheetViews>
  <sheetFormatPr defaultRowHeight="14.4" x14ac:dyDescent="0.3"/>
  <cols>
    <col min="1" max="1" width="15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15</v>
      </c>
      <c r="F1" s="3" t="s">
        <v>16</v>
      </c>
    </row>
    <row r="2" spans="1:7" x14ac:dyDescent="0.3">
      <c r="A2" s="2" t="s">
        <v>3</v>
      </c>
      <c r="B2" s="2" t="s">
        <v>4</v>
      </c>
      <c r="C2" s="2">
        <v>25000</v>
      </c>
      <c r="D2" t="str">
        <f>IF(C2&gt;30000,"High","Low")</f>
        <v>Low</v>
      </c>
      <c r="F2" t="s">
        <v>17</v>
      </c>
      <c r="G2">
        <f>COUNTIF(B2:B6,"HR")</f>
        <v>2</v>
      </c>
    </row>
    <row r="3" spans="1:7" x14ac:dyDescent="0.3">
      <c r="A3" s="2" t="s">
        <v>5</v>
      </c>
      <c r="B3" s="2" t="s">
        <v>6</v>
      </c>
      <c r="C3" s="2">
        <v>30000</v>
      </c>
      <c r="D3" t="str">
        <f t="shared" ref="D3:D6" si="0">IF(C3&gt;30000,"High","Low")</f>
        <v>Low</v>
      </c>
      <c r="F3" t="s">
        <v>18</v>
      </c>
      <c r="G3">
        <f>COUNTIF(B2:B6,"Sales")</f>
        <v>2</v>
      </c>
    </row>
    <row r="4" spans="1:7" x14ac:dyDescent="0.3">
      <c r="A4" s="2" t="s">
        <v>7</v>
      </c>
      <c r="B4" s="2" t="s">
        <v>4</v>
      </c>
      <c r="C4" s="2">
        <v>40000</v>
      </c>
      <c r="D4" t="str">
        <f t="shared" si="0"/>
        <v>High</v>
      </c>
      <c r="F4" t="s">
        <v>19</v>
      </c>
      <c r="G4">
        <f>COUNTIF(B2:B6,"IT")</f>
        <v>1</v>
      </c>
    </row>
    <row r="5" spans="1:7" x14ac:dyDescent="0.3">
      <c r="A5" s="2" t="s">
        <v>8</v>
      </c>
      <c r="B5" s="2" t="s">
        <v>9</v>
      </c>
      <c r="C5" s="2">
        <v>50000</v>
      </c>
      <c r="D5" t="str">
        <f t="shared" si="0"/>
        <v>High</v>
      </c>
    </row>
    <row r="6" spans="1:7" x14ac:dyDescent="0.3">
      <c r="A6" s="2" t="s">
        <v>10</v>
      </c>
      <c r="B6" s="2" t="s">
        <v>6</v>
      </c>
      <c r="C6" s="2">
        <v>35000</v>
      </c>
      <c r="D6" t="str">
        <f t="shared" si="0"/>
        <v>High</v>
      </c>
    </row>
    <row r="8" spans="1:7" x14ac:dyDescent="0.3">
      <c r="A8" s="2" t="s">
        <v>14</v>
      </c>
      <c r="C8">
        <f>SUM(C2:C6)</f>
        <v>180000</v>
      </c>
    </row>
    <row r="9" spans="1:7" x14ac:dyDescent="0.3">
      <c r="A9" s="2" t="s">
        <v>11</v>
      </c>
      <c r="C9">
        <f>AVERAGE(C2:C6)</f>
        <v>36000</v>
      </c>
    </row>
    <row r="10" spans="1:7" x14ac:dyDescent="0.3">
      <c r="A10" s="2" t="s">
        <v>13</v>
      </c>
      <c r="C10">
        <f>MAX(C2:C6)</f>
        <v>50000</v>
      </c>
    </row>
    <row r="11" spans="1:7" x14ac:dyDescent="0.3">
      <c r="A11" s="2" t="s">
        <v>12</v>
      </c>
      <c r="C11">
        <f>MIN(C2:C6)</f>
        <v>25000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39A-F023-4073-8B5F-0E51B7D8EEFF}">
  <dimension ref="A1:B7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8" t="s">
        <v>22</v>
      </c>
      <c r="B1" s="8"/>
    </row>
    <row r="3" spans="1:2" x14ac:dyDescent="0.3">
      <c r="A3" s="7" t="s">
        <v>23</v>
      </c>
      <c r="B3" s="7">
        <f>COUNTA(Sheet1!A2:A6)</f>
        <v>5</v>
      </c>
    </row>
    <row r="4" spans="1:2" x14ac:dyDescent="0.3">
      <c r="A4" s="7" t="s">
        <v>21</v>
      </c>
      <c r="B4" s="7">
        <f>SUM(Sheet1!C2:C6)</f>
        <v>180000</v>
      </c>
    </row>
    <row r="5" spans="1:2" x14ac:dyDescent="0.3">
      <c r="A5" s="7" t="s">
        <v>24</v>
      </c>
      <c r="B5" s="7">
        <f>AVERAGE(Sheet1!C2:C6)</f>
        <v>36000</v>
      </c>
    </row>
    <row r="6" spans="1:2" x14ac:dyDescent="0.3">
      <c r="A6" s="7" t="s">
        <v>25</v>
      </c>
      <c r="B6" s="7">
        <f>MAX(Sheet1!C2:C6)</f>
        <v>50000</v>
      </c>
    </row>
    <row r="7" spans="1:2" x14ac:dyDescent="0.3">
      <c r="A7" s="7" t="s">
        <v>26</v>
      </c>
      <c r="B7" s="7">
        <f>MIN(Sheet1!C2:C6)</f>
        <v>25000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51AA-FDCA-45D4-A223-553F5F27BBE3}">
  <dimension ref="A3:B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0.77734375" bestFit="1" customWidth="1"/>
  </cols>
  <sheetData>
    <row r="3" spans="1:2" x14ac:dyDescent="0.3">
      <c r="A3" s="4" t="s">
        <v>1</v>
      </c>
      <c r="B3" t="s">
        <v>21</v>
      </c>
    </row>
    <row r="4" spans="1:2" x14ac:dyDescent="0.3">
      <c r="A4" s="5" t="s">
        <v>6</v>
      </c>
      <c r="B4" s="6">
        <v>65000</v>
      </c>
    </row>
    <row r="5" spans="1:2" x14ac:dyDescent="0.3">
      <c r="A5" s="5" t="s">
        <v>9</v>
      </c>
      <c r="B5" s="6">
        <v>50000</v>
      </c>
    </row>
    <row r="6" spans="1:2" x14ac:dyDescent="0.3">
      <c r="A6" s="5" t="s">
        <v>4</v>
      </c>
      <c r="B6" s="6">
        <v>65000</v>
      </c>
    </row>
    <row r="7" spans="1:2" x14ac:dyDescent="0.3">
      <c r="A7" s="5" t="s">
        <v>20</v>
      </c>
      <c r="B7" s="6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Marufa Meem</cp:lastModifiedBy>
  <dcterms:created xsi:type="dcterms:W3CDTF">2015-06-05T18:17:20Z</dcterms:created>
  <dcterms:modified xsi:type="dcterms:W3CDTF">2026-08-11T12:14:53Z</dcterms:modified>
</cp:coreProperties>
</file>